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wanmuthalib/Desktop/"/>
    </mc:Choice>
  </mc:AlternateContent>
  <xr:revisionPtr revIDLastSave="0" documentId="13_ncr:1_{7C76AE54-375E-0F4D-81A2-BF362477E4BE}" xr6:coauthVersionLast="47" xr6:coauthVersionMax="47" xr10:uidLastSave="{00000000-0000-0000-0000-000000000000}"/>
  <bookViews>
    <workbookView xWindow="16160" yWindow="-18260" windowWidth="28800" windowHeight="16540" activeTab="1" xr2:uid="{00000000-000D-0000-FFFF-FFFF00000000}"/>
  </bookViews>
  <sheets>
    <sheet name="June 2020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8" i="2" l="1"/>
  <c r="E10" i="2"/>
  <c r="J7" i="2" s="1"/>
  <c r="E9" i="2"/>
  <c r="E8" i="2"/>
  <c r="J10" i="2" s="1"/>
  <c r="G21" i="2"/>
  <c r="N50" i="2" s="1"/>
  <c r="R36" i="2"/>
  <c r="P36" i="2"/>
  <c r="R35" i="2"/>
  <c r="R49" i="2" s="1"/>
  <c r="P35" i="2"/>
  <c r="C33" i="2"/>
  <c r="O23" i="2"/>
  <c r="S49" i="2"/>
  <c r="M15" i="2"/>
  <c r="I15" i="2"/>
  <c r="P34" i="2"/>
  <c r="R33" i="2"/>
  <c r="P33" i="2"/>
  <c r="C32" i="2"/>
  <c r="M14" i="2"/>
  <c r="I14" i="2"/>
  <c r="P32" i="2"/>
  <c r="G39" i="2"/>
  <c r="G30" i="2"/>
  <c r="P50" i="2" s="1"/>
  <c r="M30" i="2"/>
  <c r="S21" i="2"/>
  <c r="J9" i="1"/>
  <c r="J10" i="1"/>
  <c r="J6" i="1"/>
  <c r="J7" i="1"/>
  <c r="J3" i="1"/>
  <c r="J4" i="1"/>
  <c r="O52" i="1"/>
  <c r="M52" i="1"/>
  <c r="M51" i="1"/>
  <c r="M50" i="1"/>
  <c r="M49" i="1"/>
  <c r="P51" i="2" l="1"/>
  <c r="M21" i="2"/>
  <c r="N51" i="2" s="1"/>
  <c r="J11" i="2"/>
  <c r="J8" i="2"/>
  <c r="J4" i="2"/>
  <c r="J5" i="2" s="1"/>
  <c r="N52" i="2"/>
</calcChain>
</file>

<file path=xl/sharedStrings.xml><?xml version="1.0" encoding="utf-8"?>
<sst xmlns="http://schemas.openxmlformats.org/spreadsheetml/2006/main" count="135" uniqueCount="76">
  <si>
    <t>CLIENT WEALTH (FINANCIAL) PLANNING</t>
  </si>
  <si>
    <t>Review Date:</t>
  </si>
  <si>
    <t>Next Review Date:</t>
  </si>
  <si>
    <t xml:space="preserve">Monthly Income: </t>
  </si>
  <si>
    <t>Monthly Expenses:</t>
  </si>
  <si>
    <t>Annual Income</t>
  </si>
  <si>
    <t>Exclusively for: (Insert Name here)</t>
  </si>
  <si>
    <t>Current Age:</t>
  </si>
  <si>
    <t>Retirement Amount needed:</t>
  </si>
  <si>
    <t>Current Retirement shortage:</t>
  </si>
  <si>
    <t>Current death coverage shortage:</t>
  </si>
  <si>
    <t>Current CI Coverage shortage:</t>
  </si>
  <si>
    <t>Critical Illness(CI) Coverage Needed:</t>
  </si>
  <si>
    <t>(Monthly income*12months)*(IRA-CA)</t>
  </si>
  <si>
    <t>Intended Retirement Age:</t>
  </si>
  <si>
    <t>2x-5x of Annual Income</t>
  </si>
  <si>
    <t>(Monthly income*15months)*(IRA-CA)</t>
  </si>
  <si>
    <t>LIFE (DEATH)</t>
  </si>
  <si>
    <t>TOTAL PERMANENT DISABILITY (TPD)</t>
  </si>
  <si>
    <t>CRITICAL ILLNESS (MAJOR OR EARLY)</t>
  </si>
  <si>
    <t>ACCIDENTAL DEATH</t>
  </si>
  <si>
    <t xml:space="preserve"> PARTIAL DISABILITY </t>
  </si>
  <si>
    <t>HOSPITAL &amp; SURGERY</t>
  </si>
  <si>
    <t>SAVINGS / INVESTMENTS (CASH) - PROJECTED</t>
  </si>
  <si>
    <t>SAVINGS / INVESTMENTS (CPF) - PROJECTED</t>
  </si>
  <si>
    <t>No</t>
  </si>
  <si>
    <t>Plan Name</t>
  </si>
  <si>
    <t>Policy No.</t>
  </si>
  <si>
    <t>Start</t>
  </si>
  <si>
    <t>Mature</t>
  </si>
  <si>
    <t>Coverage ($)</t>
  </si>
  <si>
    <t xml:space="preserve">Last Premium </t>
  </si>
  <si>
    <t>Premium Per                                  Month (p.m.)|Annum (p.a.)</t>
  </si>
  <si>
    <t>Note: Summary is provided as a quick reference for clients.</t>
  </si>
  <si>
    <t>For exact figures and details, please refer to policy contract.</t>
  </si>
  <si>
    <t>:Premium of Waiver (PW)</t>
  </si>
  <si>
    <t>:Terminal Illness (TI)</t>
  </si>
  <si>
    <t>:Total Permanent Diability (TPD)</t>
  </si>
  <si>
    <t>Date of Birth:</t>
  </si>
  <si>
    <t>Contact: +65</t>
  </si>
  <si>
    <t xml:space="preserve">Email: </t>
  </si>
  <si>
    <t>Address:</t>
  </si>
  <si>
    <t xml:space="preserve"> To Plan For: </t>
  </si>
  <si>
    <t>Life:</t>
  </si>
  <si>
    <t>Subject to 5% Co-Payment?</t>
  </si>
  <si>
    <t>Accident:</t>
  </si>
  <si>
    <t xml:space="preserve">CPF: </t>
  </si>
  <si>
    <t>Disability:</t>
  </si>
  <si>
    <t xml:space="preserve">Critical Illness: </t>
  </si>
  <si>
    <t>Savings:</t>
  </si>
  <si>
    <t>Hospital &amp;Surgery: Up to __ %</t>
  </si>
  <si>
    <t xml:space="preserve">Total Death Coverage Needed: </t>
  </si>
  <si>
    <t>As of 02-Jun-2020-Coverage Needed:</t>
  </si>
  <si>
    <t>-</t>
  </si>
  <si>
    <t>Prepared By:</t>
  </si>
  <si>
    <t>ALL</t>
  </si>
  <si>
    <t>monthly</t>
  </si>
  <si>
    <t>Premium Frequency</t>
  </si>
  <si>
    <t>Annualized premium</t>
  </si>
  <si>
    <t>SAVINGS / INVESTMENTS (INSURANCE) - CURRENT</t>
  </si>
  <si>
    <t>PA98472809</t>
  </si>
  <si>
    <t>ACCIDENTAL DEATH + ACCIDENTAL DISABILITY</t>
  </si>
  <si>
    <t>FLEX PA</t>
  </si>
  <si>
    <t>ALL-I</t>
  </si>
  <si>
    <t>annually</t>
  </si>
  <si>
    <t>Contribution Due Date</t>
  </si>
  <si>
    <t>AIA i-Critical Illness Cover</t>
  </si>
  <si>
    <t>A-Life Kasih Famili</t>
  </si>
  <si>
    <t>SAVINGS / INVESTMENTS (OTHER) - CURRENT</t>
  </si>
  <si>
    <t>EPF</t>
  </si>
  <si>
    <t>ASNB</t>
  </si>
  <si>
    <t>UNIT TRUST</t>
  </si>
  <si>
    <t>OTHERS</t>
  </si>
  <si>
    <t xml:space="preserve"> PARTIAL DISABILITY (WEEKLY INDEMNITY)</t>
  </si>
  <si>
    <t>Contact: +60</t>
  </si>
  <si>
    <t>A123456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</si>
</sst>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2" xfId="0" applyBorder="1"/>
    <xf numFmtId="0" fontId="0" fillId="0" borderId="1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4" xfId="0" applyBorder="1"/>
    <xf numFmtId="0" fontId="1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 vertical="center"/>
    </xf>
    <xf numFmtId="15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" fontId="1" fillId="0" borderId="0" xfId="0" applyNumberFormat="1" applyFont="1" applyBorder="1" applyAlignment="1">
      <alignment horizontal="left" vertical="center"/>
    </xf>
    <xf numFmtId="15" fontId="1" fillId="0" borderId="2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4" fontId="1" fillId="0" borderId="0" xfId="0" applyNumberFormat="1" applyFont="1" applyAlignment="1">
      <alignment horizontal="left" vertical="center"/>
    </xf>
    <xf numFmtId="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653586</xdr:colOff>
      <xdr:row>2</xdr:row>
      <xdr:rowOff>131646</xdr:rowOff>
    </xdr:from>
    <xdr:to>
      <xdr:col>14</xdr:col>
      <xdr:colOff>975732</xdr:colOff>
      <xdr:row>9</xdr:row>
      <xdr:rowOff>6472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3714F-C505-C742-B1EA-9C50D431A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1269" y="851829"/>
          <a:ext cx="2893122" cy="1230009"/>
        </a:xfrm>
        <a:prstGeom prst="rect">
          <a:avLst/>
        </a:prstGeom>
      </xdr:spPr>
    </xdr:pic>
    <xdr:clientData/>
  </xdr:twoCellAnchor>
  <xdr:twoCellAnchor editAs="oneCell">
    <xdr:from>
      <xdr:col>14</xdr:col>
      <xdr:colOff>978830</xdr:colOff>
      <xdr:row>3</xdr:row>
      <xdr:rowOff>96026</xdr:rowOff>
    </xdr:from>
    <xdr:to>
      <xdr:col>17</xdr:col>
      <xdr:colOff>1006708</xdr:colOff>
      <xdr:row>8</xdr:row>
      <xdr:rowOff>125542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5BE693-1241-F24C-AE00-7C37FD732EE1}"/>
            </a:ext>
            <a:ext uri="{147F2762-F138-4A5C-976F-8EAC2B608ADB}">
              <a16:predDERef xmlns:a16="http://schemas.microsoft.com/office/drawing/2014/main" pred="{E1D3714F-C505-C742-B1EA-9C50D431A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7489" y="1009806"/>
          <a:ext cx="3497146" cy="997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828306</xdr:colOff>
      <xdr:row>2</xdr:row>
      <xdr:rowOff>217316</xdr:rowOff>
    </xdr:from>
    <xdr:ext cx="2898957" cy="1227652"/>
    <xdr:pic>
      <xdr:nvPicPr>
        <xdr:cNvPr id="2" name="Picture 1">
          <a:extLst>
            <a:ext uri="{FF2B5EF4-FFF2-40B4-BE49-F238E27FC236}">
              <a16:creationId xmlns:a16="http://schemas.microsoft.com/office/drawing/2014/main" id="{A6BBE6EF-59B8-1F41-B5D9-3E329B43B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512" y="870992"/>
          <a:ext cx="2898957" cy="12276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F53B-67F6-F948-ABBA-1A2064DD23E6}">
  <dimension ref="A1:S52"/>
  <sheetViews>
    <sheetView showGridLines="0" topLeftCell="A11" zoomScaleNormal="150" zoomScaleSheetLayoutView="100" workbookViewId="0">
      <selection sqref="A1:R53"/>
    </sheetView>
  </sheetViews>
  <sheetFormatPr baseColWidth="10" defaultColWidth="8.6640625" defaultRowHeight="15" x14ac:dyDescent="0.2"/>
  <cols>
    <col min="1" max="1" width="5.33203125" customWidth="1"/>
    <col min="2" max="2" width="11.33203125" customWidth="1"/>
    <col min="3" max="3" width="6.6640625" customWidth="1"/>
    <col min="5" max="5" width="14.83203125" customWidth="1"/>
    <col min="6" max="6" width="12" customWidth="1"/>
    <col min="7" max="7" width="5.33203125" customWidth="1"/>
    <col min="10" max="10" width="13.6640625" customWidth="1"/>
    <col min="11" max="11" width="9.33203125" bestFit="1" customWidth="1"/>
    <col min="12" max="12" width="16" customWidth="1"/>
    <col min="13" max="13" width="8.6640625" customWidth="1"/>
    <col min="14" max="14" width="11.5" customWidth="1"/>
    <col min="15" max="15" width="22.33203125" customWidth="1"/>
    <col min="16" max="16" width="12.83203125" bestFit="1" customWidth="1"/>
    <col min="17" max="17" width="13.83203125" customWidth="1"/>
    <col min="18" max="18" width="14.6640625" customWidth="1"/>
  </cols>
  <sheetData>
    <row r="1" spans="1:19" s="1" customFormat="1" ht="37" x14ac:dyDescent="0.4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0" x14ac:dyDescent="0.25">
      <c r="A2" s="20" t="s">
        <v>6</v>
      </c>
      <c r="F2" s="3" t="s">
        <v>8</v>
      </c>
      <c r="J2" s="2" t="s">
        <v>13</v>
      </c>
    </row>
    <row r="3" spans="1:19" x14ac:dyDescent="0.2">
      <c r="A3" s="40" t="s">
        <v>7</v>
      </c>
      <c r="B3" s="40"/>
      <c r="C3" s="40"/>
      <c r="D3" s="2"/>
      <c r="E3" s="2"/>
      <c r="F3" s="2" t="s">
        <v>52</v>
      </c>
      <c r="G3" s="2"/>
      <c r="H3" s="2"/>
      <c r="I3" s="2"/>
      <c r="J3" s="2">
        <f>(D7*12)*(D4-D3)</f>
        <v>0</v>
      </c>
    </row>
    <row r="4" spans="1:19" x14ac:dyDescent="0.2">
      <c r="A4" s="19" t="s">
        <v>14</v>
      </c>
      <c r="B4" s="19"/>
      <c r="C4" s="19"/>
      <c r="D4" s="2"/>
      <c r="E4" s="2"/>
      <c r="F4" s="2" t="s">
        <v>9</v>
      </c>
      <c r="G4" s="2"/>
      <c r="H4" s="2"/>
      <c r="I4" s="2"/>
      <c r="J4" s="2">
        <f>(F38+F47)-J3</f>
        <v>0</v>
      </c>
    </row>
    <row r="5" spans="1:19" x14ac:dyDescent="0.2">
      <c r="A5" s="40" t="s">
        <v>1</v>
      </c>
      <c r="B5" s="40"/>
      <c r="C5" s="40"/>
      <c r="D5" s="2"/>
      <c r="E5" s="2"/>
      <c r="F5" s="3" t="s">
        <v>12</v>
      </c>
      <c r="G5" s="2"/>
      <c r="H5" s="2"/>
      <c r="I5" s="2"/>
      <c r="J5" s="2" t="s">
        <v>15</v>
      </c>
    </row>
    <row r="6" spans="1:19" x14ac:dyDescent="0.2">
      <c r="A6" s="40" t="s">
        <v>2</v>
      </c>
      <c r="B6" s="40"/>
      <c r="C6" s="40"/>
      <c r="D6" s="2"/>
      <c r="E6" s="2"/>
      <c r="F6" s="2" t="s">
        <v>52</v>
      </c>
      <c r="G6" s="2"/>
      <c r="H6" s="2"/>
      <c r="I6" s="2"/>
      <c r="J6" s="2">
        <f>D9*5</f>
        <v>0</v>
      </c>
    </row>
    <row r="7" spans="1:19" x14ac:dyDescent="0.2">
      <c r="A7" s="40" t="s">
        <v>3</v>
      </c>
      <c r="B7" s="40"/>
      <c r="C7" s="40"/>
      <c r="D7" s="2"/>
      <c r="E7" s="2"/>
      <c r="F7" s="2" t="s">
        <v>11</v>
      </c>
      <c r="J7" s="2">
        <f>R20-J6</f>
        <v>0</v>
      </c>
    </row>
    <row r="8" spans="1:19" x14ac:dyDescent="0.2">
      <c r="A8" s="40" t="s">
        <v>4</v>
      </c>
      <c r="B8" s="40"/>
      <c r="C8" s="40"/>
      <c r="D8" s="2"/>
      <c r="E8" s="2"/>
      <c r="F8" s="3" t="s">
        <v>51</v>
      </c>
      <c r="G8" s="2"/>
      <c r="H8" s="2"/>
      <c r="I8" s="2"/>
      <c r="J8" s="2" t="s">
        <v>16</v>
      </c>
    </row>
    <row r="9" spans="1:19" x14ac:dyDescent="0.2">
      <c r="A9" s="40" t="s">
        <v>5</v>
      </c>
      <c r="B9" s="40"/>
      <c r="C9" s="40"/>
      <c r="D9" s="2"/>
      <c r="E9" s="2"/>
      <c r="F9" s="2" t="s">
        <v>52</v>
      </c>
      <c r="G9" s="2"/>
      <c r="H9" s="2"/>
      <c r="I9" s="2"/>
      <c r="J9" s="2">
        <f>(D7*15)*(D4-D3)</f>
        <v>0</v>
      </c>
    </row>
    <row r="10" spans="1:19" x14ac:dyDescent="0.2">
      <c r="F10" s="2" t="s">
        <v>10</v>
      </c>
      <c r="G10" s="2"/>
      <c r="H10" s="2"/>
      <c r="I10" s="2"/>
      <c r="J10" s="2">
        <f>F20-J9</f>
        <v>0</v>
      </c>
    </row>
    <row r="12" spans="1:19" s="14" customFormat="1" ht="36" customHeight="1" x14ac:dyDescent="0.2">
      <c r="A12" s="43" t="s">
        <v>17</v>
      </c>
      <c r="B12" s="43"/>
      <c r="C12" s="43"/>
      <c r="D12" s="43"/>
      <c r="E12" s="43"/>
      <c r="F12" s="43"/>
      <c r="G12" s="43" t="s">
        <v>18</v>
      </c>
      <c r="H12" s="43"/>
      <c r="I12" s="43"/>
      <c r="J12" s="43"/>
      <c r="K12" s="43"/>
      <c r="L12" s="43"/>
      <c r="M12" s="43" t="s">
        <v>19</v>
      </c>
      <c r="N12" s="43"/>
      <c r="O12" s="43"/>
      <c r="P12" s="43"/>
      <c r="Q12" s="43"/>
      <c r="R12" s="43"/>
    </row>
    <row r="13" spans="1:19" x14ac:dyDescent="0.2">
      <c r="A13" s="6"/>
      <c r="B13" s="10"/>
      <c r="C13" s="10"/>
      <c r="D13" s="10"/>
      <c r="E13" s="10"/>
      <c r="F13" s="6"/>
      <c r="G13" s="8"/>
      <c r="L13" s="6"/>
      <c r="M13" s="8"/>
      <c r="R13" s="6"/>
    </row>
    <row r="14" spans="1:19" x14ac:dyDescent="0.2">
      <c r="A14" s="6"/>
      <c r="B14" s="10"/>
      <c r="C14" s="10"/>
      <c r="D14" s="10"/>
      <c r="E14" s="10"/>
      <c r="F14" s="6"/>
      <c r="G14" s="8"/>
      <c r="L14" s="6"/>
      <c r="M14" s="8"/>
      <c r="R14" s="6"/>
    </row>
    <row r="15" spans="1:19" x14ac:dyDescent="0.2">
      <c r="A15" s="6"/>
      <c r="B15" s="10"/>
      <c r="C15" s="10"/>
      <c r="D15" s="10"/>
      <c r="E15" s="10"/>
      <c r="F15" s="6"/>
      <c r="G15" s="8"/>
      <c r="L15" s="6"/>
      <c r="M15" s="8"/>
      <c r="R15" s="6"/>
    </row>
    <row r="16" spans="1:19" x14ac:dyDescent="0.2">
      <c r="A16" s="6"/>
      <c r="B16" s="10"/>
      <c r="C16" s="10"/>
      <c r="D16" s="10"/>
      <c r="E16" s="10"/>
      <c r="F16" s="6"/>
      <c r="G16" s="8"/>
      <c r="L16" s="6"/>
      <c r="M16" s="8"/>
      <c r="R16" s="6"/>
    </row>
    <row r="17" spans="1:18" x14ac:dyDescent="0.2">
      <c r="A17" s="6"/>
      <c r="B17" s="10"/>
      <c r="C17" s="10"/>
      <c r="D17" s="10"/>
      <c r="E17" s="10"/>
      <c r="F17" s="6"/>
      <c r="G17" s="8"/>
      <c r="L17" s="6"/>
      <c r="M17" s="8"/>
      <c r="R17" s="6"/>
    </row>
    <row r="18" spans="1:18" x14ac:dyDescent="0.2">
      <c r="A18" s="6"/>
      <c r="B18" s="10"/>
      <c r="C18" s="10"/>
      <c r="D18" s="10"/>
      <c r="E18" s="10"/>
      <c r="F18" s="6"/>
      <c r="G18" s="8"/>
      <c r="L18" s="6"/>
      <c r="M18" s="8"/>
      <c r="R18" s="6"/>
    </row>
    <row r="19" spans="1:18" x14ac:dyDescent="0.2">
      <c r="A19" s="6"/>
      <c r="B19" s="10"/>
      <c r="C19" s="10"/>
      <c r="D19" s="10"/>
      <c r="E19" s="10"/>
      <c r="F19" s="7"/>
      <c r="G19" s="8"/>
      <c r="L19" s="7"/>
      <c r="M19" s="8"/>
      <c r="R19" s="7"/>
    </row>
    <row r="20" spans="1:18" x14ac:dyDescent="0.2">
      <c r="A20" s="7"/>
      <c r="B20" s="4"/>
      <c r="C20" s="4"/>
      <c r="D20" s="4"/>
      <c r="E20" s="4"/>
      <c r="F20" s="7"/>
      <c r="G20" s="9"/>
      <c r="H20" s="4"/>
      <c r="I20" s="4"/>
      <c r="J20" s="4"/>
      <c r="K20" s="4"/>
      <c r="L20" s="7"/>
      <c r="M20" s="9"/>
      <c r="N20" s="4"/>
      <c r="O20" s="4"/>
      <c r="P20" s="4"/>
      <c r="Q20" s="4"/>
      <c r="R20" s="7"/>
    </row>
    <row r="21" spans="1:18" s="13" customFormat="1" ht="34.5" customHeight="1" x14ac:dyDescent="0.2">
      <c r="A21" s="47" t="s">
        <v>20</v>
      </c>
      <c r="B21" s="41"/>
      <c r="C21" s="41"/>
      <c r="D21" s="41"/>
      <c r="E21" s="41"/>
      <c r="F21" s="41"/>
      <c r="G21" s="47" t="s">
        <v>21</v>
      </c>
      <c r="H21" s="41"/>
      <c r="I21" s="41"/>
      <c r="J21" s="41"/>
      <c r="K21" s="41"/>
      <c r="L21" s="42"/>
      <c r="M21" s="41" t="s">
        <v>22</v>
      </c>
      <c r="N21" s="41"/>
      <c r="O21" s="41"/>
      <c r="P21" s="41"/>
      <c r="Q21" s="41"/>
      <c r="R21" s="42"/>
    </row>
    <row r="22" spans="1:18" x14ac:dyDescent="0.2">
      <c r="A22" s="6"/>
      <c r="B22" s="10"/>
      <c r="C22" s="10"/>
      <c r="D22" s="10"/>
      <c r="E22" s="10"/>
      <c r="F22" s="6"/>
      <c r="G22" s="8"/>
      <c r="L22" s="6"/>
      <c r="M22" s="8"/>
      <c r="N22" s="10"/>
      <c r="O22" s="10"/>
      <c r="P22" s="10"/>
      <c r="Q22" s="10"/>
      <c r="R22" s="6"/>
    </row>
    <row r="23" spans="1:18" x14ac:dyDescent="0.2">
      <c r="A23" s="6"/>
      <c r="B23" s="10"/>
      <c r="C23" s="10"/>
      <c r="D23" s="10"/>
      <c r="E23" s="10"/>
      <c r="F23" s="6"/>
      <c r="G23" s="8"/>
      <c r="L23" s="6"/>
      <c r="M23" s="8"/>
      <c r="N23" s="10"/>
      <c r="O23" s="10"/>
      <c r="P23" s="10"/>
      <c r="Q23" s="10"/>
      <c r="R23" s="6"/>
    </row>
    <row r="24" spans="1:18" x14ac:dyDescent="0.2">
      <c r="A24" s="6"/>
      <c r="B24" s="10"/>
      <c r="C24" s="10"/>
      <c r="D24" s="10"/>
      <c r="E24" s="10"/>
      <c r="F24" s="6"/>
      <c r="G24" s="8"/>
      <c r="L24" s="6"/>
      <c r="M24" s="8"/>
      <c r="N24" s="10"/>
      <c r="O24" s="10"/>
      <c r="P24" s="10"/>
      <c r="Q24" s="10"/>
      <c r="R24" s="6"/>
    </row>
    <row r="25" spans="1:18" x14ac:dyDescent="0.2">
      <c r="A25" s="6"/>
      <c r="B25" s="10"/>
      <c r="C25" s="10"/>
      <c r="D25" s="10"/>
      <c r="E25" s="10"/>
      <c r="F25" s="6"/>
      <c r="G25" s="8"/>
      <c r="L25" s="6"/>
      <c r="M25" s="8"/>
      <c r="N25" s="10"/>
      <c r="O25" s="10"/>
      <c r="P25" s="10"/>
      <c r="Q25" s="10"/>
      <c r="R25" s="6"/>
    </row>
    <row r="26" spans="1:18" x14ac:dyDescent="0.2">
      <c r="A26" s="6"/>
      <c r="B26" s="10"/>
      <c r="C26" s="10"/>
      <c r="D26" s="10"/>
      <c r="E26" s="10"/>
      <c r="F26" s="6"/>
      <c r="G26" s="8"/>
      <c r="L26" s="6"/>
      <c r="M26" s="8"/>
      <c r="N26" s="10"/>
      <c r="O26" s="10"/>
      <c r="P26" s="10"/>
      <c r="Q26" s="10"/>
      <c r="R26" s="6"/>
    </row>
    <row r="27" spans="1:18" x14ac:dyDescent="0.2">
      <c r="A27" s="6"/>
      <c r="B27" s="10"/>
      <c r="C27" s="10"/>
      <c r="D27" s="10"/>
      <c r="E27" s="10"/>
      <c r="F27" s="6"/>
      <c r="G27" s="8"/>
      <c r="L27" s="6"/>
      <c r="M27" s="8"/>
      <c r="N27" s="10"/>
      <c r="O27" s="10"/>
      <c r="P27" s="10"/>
      <c r="Q27" s="10"/>
      <c r="R27" s="6"/>
    </row>
    <row r="28" spans="1:18" x14ac:dyDescent="0.2">
      <c r="A28" s="6"/>
      <c r="B28" s="10"/>
      <c r="C28" s="10"/>
      <c r="D28" s="10"/>
      <c r="E28" s="10"/>
      <c r="F28" s="6"/>
      <c r="G28" s="8"/>
      <c r="L28" s="6"/>
      <c r="M28" s="8"/>
      <c r="N28" s="10"/>
      <c r="O28" s="10"/>
      <c r="P28" s="10"/>
      <c r="Q28" s="10"/>
      <c r="R28" s="6"/>
    </row>
    <row r="29" spans="1:18" x14ac:dyDescent="0.2">
      <c r="A29" s="7"/>
      <c r="B29" s="4"/>
      <c r="C29" s="4"/>
      <c r="D29" s="4"/>
      <c r="E29" s="4"/>
      <c r="F29" s="11"/>
      <c r="G29" s="8"/>
      <c r="H29" s="10"/>
      <c r="I29" s="10"/>
      <c r="J29" s="10"/>
      <c r="K29" s="10"/>
      <c r="L29" s="16"/>
      <c r="M29" s="8"/>
      <c r="N29" s="10"/>
      <c r="O29" s="10"/>
      <c r="P29" s="10"/>
      <c r="Q29" s="10"/>
      <c r="R29" s="16"/>
    </row>
    <row r="30" spans="1:18" s="13" customFormat="1" ht="33" customHeight="1" x14ac:dyDescent="0.2">
      <c r="A30" s="47" t="s">
        <v>23</v>
      </c>
      <c r="B30" s="41"/>
      <c r="C30" s="41"/>
      <c r="D30" s="41"/>
      <c r="E30" s="41"/>
      <c r="F30" s="41"/>
      <c r="G30" s="17" t="s">
        <v>25</v>
      </c>
      <c r="H30" s="48" t="s">
        <v>26</v>
      </c>
      <c r="I30" s="49"/>
      <c r="J30" s="49"/>
      <c r="K30" s="50"/>
      <c r="L30" s="17" t="s">
        <v>27</v>
      </c>
      <c r="M30" s="17" t="s">
        <v>28</v>
      </c>
      <c r="N30" s="17" t="s">
        <v>29</v>
      </c>
      <c r="O30" s="17" t="s">
        <v>30</v>
      </c>
      <c r="P30" s="17" t="s">
        <v>31</v>
      </c>
      <c r="Q30" s="51" t="s">
        <v>32</v>
      </c>
      <c r="R30" s="52"/>
    </row>
    <row r="31" spans="1:18" x14ac:dyDescent="0.2">
      <c r="A31" s="6"/>
      <c r="B31" s="10"/>
      <c r="C31" s="10"/>
      <c r="D31" s="10"/>
      <c r="E31" s="10"/>
      <c r="F31" s="5"/>
      <c r="G31" s="11"/>
      <c r="H31" s="44"/>
      <c r="I31" s="45"/>
      <c r="J31" s="45"/>
      <c r="K31" s="46"/>
      <c r="L31" s="11"/>
      <c r="M31" s="11"/>
      <c r="N31" s="11"/>
      <c r="O31" s="11"/>
      <c r="P31" s="11"/>
      <c r="Q31" s="11"/>
      <c r="R31" s="11"/>
    </row>
    <row r="32" spans="1:18" x14ac:dyDescent="0.2">
      <c r="A32" s="6"/>
      <c r="B32" s="10"/>
      <c r="C32" s="10"/>
      <c r="D32" s="10"/>
      <c r="E32" s="10"/>
      <c r="F32" s="5"/>
      <c r="G32" s="11"/>
      <c r="H32" s="44"/>
      <c r="I32" s="45"/>
      <c r="J32" s="45"/>
      <c r="K32" s="46"/>
      <c r="L32" s="11"/>
      <c r="M32" s="11"/>
      <c r="N32" s="11"/>
      <c r="O32" s="11"/>
      <c r="P32" s="11"/>
      <c r="Q32" s="11"/>
      <c r="R32" s="11"/>
    </row>
    <row r="33" spans="1:18" x14ac:dyDescent="0.2">
      <c r="A33" s="6"/>
      <c r="B33" s="10"/>
      <c r="C33" s="10"/>
      <c r="D33" s="10"/>
      <c r="E33" s="10"/>
      <c r="F33" s="5"/>
      <c r="G33" s="11"/>
      <c r="H33" s="44"/>
      <c r="I33" s="45"/>
      <c r="J33" s="45"/>
      <c r="K33" s="46"/>
      <c r="L33" s="11"/>
      <c r="M33" s="11"/>
      <c r="N33" s="11"/>
      <c r="O33" s="11"/>
      <c r="P33" s="11"/>
      <c r="Q33" s="11"/>
      <c r="R33" s="11"/>
    </row>
    <row r="34" spans="1:18" x14ac:dyDescent="0.2">
      <c r="A34" s="6"/>
      <c r="B34" s="10"/>
      <c r="C34" s="10"/>
      <c r="D34" s="10"/>
      <c r="E34" s="10"/>
      <c r="F34" s="5"/>
      <c r="G34" s="11"/>
      <c r="H34" s="44"/>
      <c r="I34" s="45"/>
      <c r="J34" s="45"/>
      <c r="K34" s="46"/>
      <c r="L34" s="11"/>
      <c r="M34" s="11"/>
      <c r="N34" s="11"/>
      <c r="O34" s="11"/>
      <c r="P34" s="11"/>
      <c r="Q34" s="11"/>
      <c r="R34" s="11"/>
    </row>
    <row r="35" spans="1:18" x14ac:dyDescent="0.2">
      <c r="A35" s="6"/>
      <c r="B35" s="10"/>
      <c r="C35" s="10"/>
      <c r="D35" s="10"/>
      <c r="E35" s="10"/>
      <c r="F35" s="5"/>
      <c r="G35" s="11"/>
      <c r="H35" s="44"/>
      <c r="I35" s="45"/>
      <c r="J35" s="45"/>
      <c r="K35" s="46"/>
      <c r="L35" s="11"/>
      <c r="M35" s="11"/>
      <c r="N35" s="11"/>
      <c r="O35" s="11"/>
      <c r="P35" s="11"/>
      <c r="Q35" s="11"/>
      <c r="R35" s="11"/>
    </row>
    <row r="36" spans="1:18" x14ac:dyDescent="0.2">
      <c r="A36" s="6"/>
      <c r="B36" s="10"/>
      <c r="C36" s="10"/>
      <c r="D36" s="10"/>
      <c r="E36" s="10"/>
      <c r="F36" s="5"/>
      <c r="G36" s="11"/>
      <c r="H36" s="44"/>
      <c r="I36" s="45"/>
      <c r="J36" s="45"/>
      <c r="K36" s="46"/>
      <c r="L36" s="11"/>
      <c r="M36" s="11"/>
      <c r="N36" s="11"/>
      <c r="O36" s="11"/>
      <c r="P36" s="11"/>
      <c r="Q36" s="11"/>
      <c r="R36" s="11"/>
    </row>
    <row r="37" spans="1:18" x14ac:dyDescent="0.2">
      <c r="A37" s="6"/>
      <c r="B37" s="10"/>
      <c r="C37" s="10"/>
      <c r="D37" s="10"/>
      <c r="E37" s="10"/>
      <c r="F37" s="5"/>
      <c r="G37" s="11"/>
      <c r="H37" s="44"/>
      <c r="I37" s="45"/>
      <c r="J37" s="45"/>
      <c r="K37" s="46"/>
      <c r="L37" s="11"/>
      <c r="M37" s="11"/>
      <c r="N37" s="11"/>
      <c r="O37" s="11"/>
      <c r="P37" s="11"/>
      <c r="Q37" s="11"/>
      <c r="R37" s="11"/>
    </row>
    <row r="38" spans="1:18" x14ac:dyDescent="0.2">
      <c r="A38" s="7"/>
      <c r="B38" s="4"/>
      <c r="C38" s="4"/>
      <c r="D38" s="4"/>
      <c r="E38" s="4"/>
      <c r="F38" s="12"/>
      <c r="G38" s="11"/>
      <c r="H38" s="44"/>
      <c r="I38" s="45"/>
      <c r="J38" s="45"/>
      <c r="K38" s="46"/>
      <c r="L38" s="11"/>
      <c r="M38" s="11"/>
      <c r="N38" s="11"/>
      <c r="O38" s="11"/>
      <c r="P38" s="11"/>
      <c r="Q38" s="11"/>
      <c r="R38" s="11"/>
    </row>
    <row r="39" spans="1:18" ht="30" customHeight="1" x14ac:dyDescent="0.2">
      <c r="A39" s="47" t="s">
        <v>24</v>
      </c>
      <c r="B39" s="41"/>
      <c r="C39" s="41"/>
      <c r="D39" s="41"/>
      <c r="E39" s="41"/>
      <c r="F39" s="41"/>
      <c r="G39" s="11"/>
      <c r="H39" s="44"/>
      <c r="I39" s="45"/>
      <c r="J39" s="45"/>
      <c r="K39" s="46"/>
      <c r="L39" s="11"/>
      <c r="M39" s="11"/>
      <c r="N39" s="11"/>
      <c r="O39" s="11"/>
      <c r="P39" s="11"/>
      <c r="Q39" s="11"/>
      <c r="R39" s="11"/>
    </row>
    <row r="40" spans="1:18" x14ac:dyDescent="0.2">
      <c r="A40" s="6"/>
      <c r="B40" s="10"/>
      <c r="C40" s="10"/>
      <c r="D40" s="10"/>
      <c r="E40" s="10"/>
      <c r="F40" s="5"/>
      <c r="G40" s="11"/>
      <c r="H40" s="44"/>
      <c r="I40" s="45"/>
      <c r="J40" s="45"/>
      <c r="K40" s="46"/>
      <c r="L40" s="11"/>
      <c r="M40" s="11"/>
      <c r="N40" s="11"/>
      <c r="O40" s="11"/>
      <c r="P40" s="11"/>
      <c r="Q40" s="11"/>
      <c r="R40" s="11"/>
    </row>
    <row r="41" spans="1:18" x14ac:dyDescent="0.2">
      <c r="A41" s="6"/>
      <c r="B41" s="10"/>
      <c r="C41" s="10"/>
      <c r="D41" s="10"/>
      <c r="E41" s="10"/>
      <c r="F41" s="5"/>
      <c r="G41" s="11"/>
      <c r="H41" s="44"/>
      <c r="I41" s="45"/>
      <c r="J41" s="45"/>
      <c r="K41" s="46"/>
      <c r="L41" s="11"/>
      <c r="M41" s="11"/>
      <c r="N41" s="11"/>
      <c r="O41" s="11"/>
      <c r="P41" s="11"/>
      <c r="Q41" s="11"/>
      <c r="R41" s="11"/>
    </row>
    <row r="42" spans="1:18" x14ac:dyDescent="0.2">
      <c r="A42" s="6"/>
      <c r="B42" s="10"/>
      <c r="C42" s="10"/>
      <c r="D42" s="10"/>
      <c r="E42" s="10"/>
      <c r="F42" s="5"/>
      <c r="G42" s="11"/>
      <c r="H42" s="44"/>
      <c r="I42" s="45"/>
      <c r="J42" s="45"/>
      <c r="K42" s="46"/>
      <c r="L42" s="11"/>
      <c r="M42" s="11"/>
      <c r="N42" s="11"/>
      <c r="O42" s="11"/>
      <c r="P42" s="11"/>
      <c r="Q42" s="11"/>
      <c r="R42" s="11"/>
    </row>
    <row r="43" spans="1:18" x14ac:dyDescent="0.2">
      <c r="A43" s="6"/>
      <c r="B43" s="10"/>
      <c r="C43" s="10"/>
      <c r="D43" s="10"/>
      <c r="E43" s="10"/>
      <c r="F43" s="5"/>
      <c r="G43" s="11"/>
      <c r="H43" s="44"/>
      <c r="I43" s="45"/>
      <c r="J43" s="45"/>
      <c r="K43" s="46"/>
      <c r="L43" s="11"/>
      <c r="M43" s="11"/>
      <c r="N43" s="11"/>
      <c r="O43" s="11"/>
      <c r="P43" s="11"/>
      <c r="Q43" s="11"/>
      <c r="R43" s="11"/>
    </row>
    <row r="44" spans="1:18" x14ac:dyDescent="0.2">
      <c r="A44" s="6"/>
      <c r="B44" s="10"/>
      <c r="C44" s="10"/>
      <c r="D44" s="10"/>
      <c r="E44" s="10"/>
      <c r="F44" s="5"/>
      <c r="G44" s="11"/>
      <c r="H44" s="44"/>
      <c r="I44" s="45"/>
      <c r="J44" s="45"/>
      <c r="K44" s="46"/>
      <c r="L44" s="11"/>
      <c r="M44" s="11"/>
      <c r="N44" s="11"/>
      <c r="O44" s="11"/>
      <c r="P44" s="11"/>
      <c r="Q44" s="11"/>
      <c r="R44" s="11"/>
    </row>
    <row r="45" spans="1:18" x14ac:dyDescent="0.2">
      <c r="A45" s="6"/>
      <c r="B45" s="10"/>
      <c r="C45" s="10"/>
      <c r="D45" s="10"/>
      <c r="E45" s="10"/>
      <c r="F45" s="5"/>
      <c r="G45" s="11"/>
      <c r="H45" s="44"/>
      <c r="I45" s="45"/>
      <c r="J45" s="45"/>
      <c r="K45" s="46"/>
      <c r="L45" s="11"/>
      <c r="M45" s="11"/>
      <c r="N45" s="11"/>
      <c r="O45" s="11"/>
      <c r="P45" s="11"/>
      <c r="Q45" s="11"/>
      <c r="R45" s="11"/>
    </row>
    <row r="46" spans="1:18" x14ac:dyDescent="0.2">
      <c r="A46" s="6"/>
      <c r="B46" s="10"/>
      <c r="C46" s="10"/>
      <c r="D46" s="10"/>
      <c r="E46" s="10"/>
      <c r="F46" s="5"/>
      <c r="G46" s="11"/>
      <c r="H46" s="44"/>
      <c r="I46" s="45"/>
      <c r="J46" s="45"/>
      <c r="K46" s="46"/>
      <c r="L46" s="11"/>
      <c r="M46" s="11"/>
      <c r="N46" s="11"/>
      <c r="O46" s="11"/>
      <c r="P46" s="11"/>
      <c r="Q46" s="11"/>
      <c r="R46" s="11"/>
    </row>
    <row r="47" spans="1:18" x14ac:dyDescent="0.2">
      <c r="A47" s="7"/>
      <c r="B47" s="4"/>
      <c r="C47" s="4"/>
      <c r="D47" s="4"/>
      <c r="E47" s="4"/>
      <c r="F47" s="12"/>
      <c r="G47" s="11"/>
      <c r="H47" s="44"/>
      <c r="I47" s="45"/>
      <c r="J47" s="45"/>
      <c r="K47" s="46"/>
      <c r="L47" s="11"/>
      <c r="M47" s="11"/>
      <c r="N47" s="11"/>
      <c r="O47" s="11"/>
      <c r="P47" s="11"/>
      <c r="Q47" s="11"/>
      <c r="R47" s="11"/>
    </row>
    <row r="48" spans="1:18" x14ac:dyDescent="0.2">
      <c r="A48" s="2" t="s">
        <v>33</v>
      </c>
      <c r="G48" s="2" t="s">
        <v>38</v>
      </c>
      <c r="L48" s="19" t="s">
        <v>42</v>
      </c>
      <c r="M48" s="2"/>
      <c r="N48" s="2"/>
      <c r="O48" s="2"/>
      <c r="P48" s="2"/>
    </row>
    <row r="49" spans="1:16" x14ac:dyDescent="0.2">
      <c r="A49" s="2" t="s">
        <v>34</v>
      </c>
      <c r="G49" s="2" t="s">
        <v>39</v>
      </c>
      <c r="L49" s="19" t="s">
        <v>43</v>
      </c>
      <c r="M49" s="2">
        <f>F20</f>
        <v>0</v>
      </c>
      <c r="N49" s="2" t="s">
        <v>45</v>
      </c>
      <c r="O49" s="19"/>
      <c r="P49" s="2"/>
    </row>
    <row r="50" spans="1:16" x14ac:dyDescent="0.2">
      <c r="A50" s="2" t="s">
        <v>35</v>
      </c>
      <c r="G50" s="2" t="s">
        <v>40</v>
      </c>
      <c r="L50" s="19" t="s">
        <v>47</v>
      </c>
      <c r="M50" s="2">
        <f>L20</f>
        <v>0</v>
      </c>
      <c r="N50" s="19" t="s">
        <v>50</v>
      </c>
      <c r="O50" s="2"/>
      <c r="P50" s="2"/>
    </row>
    <row r="51" spans="1:16" x14ac:dyDescent="0.2">
      <c r="A51" s="2" t="s">
        <v>36</v>
      </c>
      <c r="G51" s="2" t="s">
        <v>41</v>
      </c>
      <c r="L51" s="2" t="s">
        <v>48</v>
      </c>
      <c r="M51" s="2">
        <f>R20</f>
        <v>0</v>
      </c>
      <c r="N51" s="2" t="s">
        <v>44</v>
      </c>
      <c r="O51" s="2"/>
      <c r="P51" s="2"/>
    </row>
    <row r="52" spans="1:16" x14ac:dyDescent="0.2">
      <c r="A52" s="2" t="s">
        <v>37</v>
      </c>
      <c r="L52" s="2" t="s">
        <v>46</v>
      </c>
      <c r="M52" s="2">
        <f>F47</f>
        <v>0</v>
      </c>
      <c r="N52" s="2" t="s">
        <v>49</v>
      </c>
      <c r="O52" s="2">
        <f>F38</f>
        <v>0</v>
      </c>
      <c r="P52" s="2"/>
    </row>
  </sheetData>
  <mergeCells count="33">
    <mergeCell ref="H44:K44"/>
    <mergeCell ref="H45:K45"/>
    <mergeCell ref="H46:K46"/>
    <mergeCell ref="H47:K47"/>
    <mergeCell ref="H38:K38"/>
    <mergeCell ref="H39:K39"/>
    <mergeCell ref="H40:K40"/>
    <mergeCell ref="H41:K41"/>
    <mergeCell ref="H42:K42"/>
    <mergeCell ref="H43:K43"/>
    <mergeCell ref="Q30:R30"/>
    <mergeCell ref="H35:K35"/>
    <mergeCell ref="H36:K36"/>
    <mergeCell ref="H37:K37"/>
    <mergeCell ref="H31:K31"/>
    <mergeCell ref="H32:K32"/>
    <mergeCell ref="H33:K33"/>
    <mergeCell ref="H34:K34"/>
    <mergeCell ref="A21:F21"/>
    <mergeCell ref="G21:L21"/>
    <mergeCell ref="A39:F39"/>
    <mergeCell ref="H30:K30"/>
    <mergeCell ref="A30:F30"/>
    <mergeCell ref="A3:C3"/>
    <mergeCell ref="A6:C6"/>
    <mergeCell ref="A7:C7"/>
    <mergeCell ref="A5:C5"/>
    <mergeCell ref="M21:R21"/>
    <mergeCell ref="A8:C8"/>
    <mergeCell ref="A9:C9"/>
    <mergeCell ref="A12:F12"/>
    <mergeCell ref="G12:L12"/>
    <mergeCell ref="M12:R12"/>
  </mergeCells>
  <pageMargins left="0.7" right="0.7" top="0.75" bottom="0.75" header="0.3" footer="0.3"/>
  <pageSetup scale="0" firstPageNumber="0" fitToWidth="0" fitToHeight="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3457-5AED-5D4A-B126-6789B95F7E5C}">
  <dimension ref="B2:S53"/>
  <sheetViews>
    <sheetView tabSelected="1" zoomScale="94" zoomScaleNormal="150" zoomScaleSheetLayoutView="100" workbookViewId="0">
      <selection activeCell="B2" sqref="B2"/>
    </sheetView>
  </sheetViews>
  <sheetFormatPr baseColWidth="10" defaultColWidth="8.83203125" defaultRowHeight="15" x14ac:dyDescent="0.2"/>
  <cols>
    <col min="3" max="3" width="10.1640625" bestFit="1" customWidth="1"/>
    <col min="5" max="5" width="9" bestFit="1" customWidth="1"/>
    <col min="7" max="7" width="18.5" customWidth="1"/>
    <col min="11" max="11" width="8.6640625" style="18"/>
    <col min="13" max="13" width="14.1640625" bestFit="1" customWidth="1"/>
    <col min="15" max="15" width="12.6640625" customWidth="1"/>
    <col min="16" max="16" width="12.1640625" bestFit="1" customWidth="1"/>
    <col min="17" max="18" width="16.33203125" customWidth="1"/>
    <col min="19" max="19" width="15.6640625" customWidth="1"/>
  </cols>
  <sheetData>
    <row r="2" spans="2:19" ht="37" x14ac:dyDescent="0.45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2"/>
      <c r="L2" s="21"/>
      <c r="M2" s="21"/>
      <c r="N2" s="21"/>
      <c r="O2" s="21"/>
      <c r="P2" s="21"/>
      <c r="Q2" s="21"/>
      <c r="R2" s="21"/>
      <c r="S2" s="21"/>
    </row>
    <row r="3" spans="2:19" ht="20" x14ac:dyDescent="0.25">
      <c r="B3" s="20" t="s">
        <v>6</v>
      </c>
      <c r="G3" s="3" t="s">
        <v>8</v>
      </c>
      <c r="J3" s="23" t="s">
        <v>13</v>
      </c>
    </row>
    <row r="4" spans="2:19" x14ac:dyDescent="0.2">
      <c r="B4" s="40" t="s">
        <v>7</v>
      </c>
      <c r="C4" s="40"/>
      <c r="D4" s="40"/>
      <c r="E4" s="19"/>
      <c r="F4" s="2"/>
      <c r="G4" s="2" t="s">
        <v>52</v>
      </c>
      <c r="H4" s="2"/>
      <c r="I4" s="2"/>
      <c r="J4" s="2" t="str">
        <f>DOLLAR((E8*12)*(E5-E4))</f>
        <v>RM0.00</v>
      </c>
    </row>
    <row r="5" spans="2:19" x14ac:dyDescent="0.2">
      <c r="B5" s="19" t="s">
        <v>14</v>
      </c>
      <c r="C5" s="19"/>
      <c r="D5" s="19"/>
      <c r="E5" s="19"/>
      <c r="F5" s="2"/>
      <c r="G5" s="2" t="s">
        <v>9</v>
      </c>
      <c r="H5" s="2"/>
      <c r="I5" s="2"/>
      <c r="J5" s="2" t="str">
        <f>DOLLAR(G39+G48-J4)</f>
        <v>RM600,000.00</v>
      </c>
    </row>
    <row r="6" spans="2:19" x14ac:dyDescent="0.2">
      <c r="B6" s="40" t="s">
        <v>1</v>
      </c>
      <c r="C6" s="40"/>
      <c r="D6" s="40"/>
      <c r="E6" s="24">
        <v>44816</v>
      </c>
      <c r="F6" s="2"/>
      <c r="G6" s="3" t="s">
        <v>12</v>
      </c>
      <c r="H6" s="2"/>
      <c r="I6" s="2"/>
      <c r="J6" s="23" t="s">
        <v>15</v>
      </c>
    </row>
    <row r="7" spans="2:19" x14ac:dyDescent="0.2">
      <c r="B7" s="40" t="s">
        <v>2</v>
      </c>
      <c r="C7" s="40"/>
      <c r="D7" s="40"/>
      <c r="E7" s="24">
        <v>45181</v>
      </c>
      <c r="F7" s="2"/>
      <c r="G7" s="2" t="s">
        <v>52</v>
      </c>
      <c r="H7" s="2"/>
      <c r="I7" s="2"/>
      <c r="J7" s="2" t="str">
        <f>DOLLAR((E10*5))</f>
        <v>RM0.00</v>
      </c>
    </row>
    <row r="8" spans="2:19" x14ac:dyDescent="0.2">
      <c r="B8" s="40" t="s">
        <v>3</v>
      </c>
      <c r="C8" s="40"/>
      <c r="D8" s="40"/>
      <c r="E8" s="19" t="str">
        <f>DOLLAR(0)</f>
        <v>RM0.00</v>
      </c>
      <c r="F8" s="2"/>
      <c r="G8" s="2" t="s">
        <v>11</v>
      </c>
      <c r="J8" s="2" t="str">
        <f>DOLLAR((S21-J7))</f>
        <v>RM300,000.00</v>
      </c>
    </row>
    <row r="9" spans="2:19" x14ac:dyDescent="0.2">
      <c r="B9" s="40" t="s">
        <v>4</v>
      </c>
      <c r="C9" s="40"/>
      <c r="D9" s="40"/>
      <c r="E9" s="19" t="str">
        <f>DOLLAR(0)</f>
        <v>RM0.00</v>
      </c>
      <c r="F9" s="2"/>
      <c r="G9" s="3" t="s">
        <v>51</v>
      </c>
      <c r="H9" s="2"/>
      <c r="I9" s="2"/>
      <c r="J9" s="23" t="s">
        <v>16</v>
      </c>
    </row>
    <row r="10" spans="2:19" x14ac:dyDescent="0.2">
      <c r="B10" s="40" t="s">
        <v>5</v>
      </c>
      <c r="C10" s="40"/>
      <c r="D10" s="40"/>
      <c r="E10" s="19" t="str">
        <f>DOLLAR(0)</f>
        <v>RM0.00</v>
      </c>
      <c r="F10" s="2"/>
      <c r="G10" s="2" t="s">
        <v>52</v>
      </c>
      <c r="H10" s="2"/>
      <c r="I10" s="2"/>
      <c r="J10" s="2" t="str">
        <f>DOLLAR((E8*15)*(E5-E4))</f>
        <v>RM0.00</v>
      </c>
    </row>
    <row r="11" spans="2:19" x14ac:dyDescent="0.2">
      <c r="G11" s="2" t="s">
        <v>10</v>
      </c>
      <c r="H11" s="2"/>
      <c r="I11" s="2"/>
      <c r="J11" s="2" t="str">
        <f>DOLLAR((G21-J10))</f>
        <v>RM300,000.00</v>
      </c>
    </row>
    <row r="13" spans="2:19" ht="48.75" customHeight="1" x14ac:dyDescent="0.2">
      <c r="B13" s="43" t="s">
        <v>17</v>
      </c>
      <c r="C13" s="43"/>
      <c r="D13" s="43"/>
      <c r="E13" s="43"/>
      <c r="F13" s="43"/>
      <c r="G13" s="43"/>
      <c r="H13" s="43" t="s">
        <v>18</v>
      </c>
      <c r="I13" s="43"/>
      <c r="J13" s="43"/>
      <c r="K13" s="43"/>
      <c r="L13" s="43"/>
      <c r="M13" s="43"/>
      <c r="N13" s="43" t="s">
        <v>19</v>
      </c>
      <c r="O13" s="43"/>
      <c r="P13" s="43"/>
      <c r="Q13" s="43"/>
      <c r="R13" s="43"/>
      <c r="S13" s="43"/>
    </row>
    <row r="14" spans="2:19" x14ac:dyDescent="0.2">
      <c r="B14" s="26">
        <v>1</v>
      </c>
      <c r="C14" s="33" t="s">
        <v>75</v>
      </c>
      <c r="D14" s="27"/>
      <c r="E14" s="27"/>
      <c r="F14" s="27"/>
      <c r="G14" s="26">
        <v>100000</v>
      </c>
      <c r="H14" s="28"/>
      <c r="I14" s="37" t="str">
        <f>C14</f>
        <v>A123456</v>
      </c>
      <c r="J14" s="19"/>
      <c r="K14" s="19"/>
      <c r="L14" s="19"/>
      <c r="M14" s="26">
        <f>G14</f>
        <v>100000</v>
      </c>
      <c r="N14" s="28"/>
      <c r="O14" s="33" t="s">
        <v>75</v>
      </c>
      <c r="P14" s="19"/>
      <c r="Q14" s="19"/>
      <c r="R14" s="19"/>
      <c r="S14" s="26">
        <v>100000</v>
      </c>
    </row>
    <row r="15" spans="2:19" x14ac:dyDescent="0.2">
      <c r="B15" s="26"/>
      <c r="C15" s="33" t="s">
        <v>75</v>
      </c>
      <c r="D15" s="27"/>
      <c r="E15" s="27"/>
      <c r="F15" s="27"/>
      <c r="G15" s="26">
        <v>100000</v>
      </c>
      <c r="H15" s="28"/>
      <c r="I15" s="19" t="str">
        <f>C15</f>
        <v>A123456</v>
      </c>
      <c r="J15" s="19"/>
      <c r="K15" s="19"/>
      <c r="L15" s="19"/>
      <c r="M15" s="26">
        <f>G15</f>
        <v>100000</v>
      </c>
      <c r="N15" s="28"/>
      <c r="O15" s="33" t="s">
        <v>75</v>
      </c>
      <c r="P15" s="19"/>
      <c r="Q15" s="19"/>
      <c r="R15" s="19"/>
      <c r="S15" s="26">
        <v>100000</v>
      </c>
    </row>
    <row r="16" spans="2:19" x14ac:dyDescent="0.2">
      <c r="B16" s="26"/>
      <c r="C16" s="33" t="s">
        <v>75</v>
      </c>
      <c r="D16" s="27"/>
      <c r="E16" s="27"/>
      <c r="F16" s="27"/>
      <c r="G16" s="26">
        <v>100000</v>
      </c>
      <c r="H16" s="28"/>
      <c r="I16" s="19"/>
      <c r="J16" s="19"/>
      <c r="K16" s="19"/>
      <c r="L16" s="19"/>
      <c r="M16" s="26"/>
      <c r="N16" s="28"/>
      <c r="O16" s="33" t="s">
        <v>75</v>
      </c>
      <c r="P16" s="19"/>
      <c r="Q16" s="19"/>
      <c r="R16" s="19"/>
      <c r="S16" s="26">
        <v>100000</v>
      </c>
    </row>
    <row r="17" spans="2:19" x14ac:dyDescent="0.2">
      <c r="B17" s="26"/>
      <c r="C17" s="27"/>
      <c r="D17" s="27"/>
      <c r="E17" s="27"/>
      <c r="F17" s="27"/>
      <c r="G17" s="26"/>
      <c r="H17" s="28"/>
      <c r="I17" s="19"/>
      <c r="J17" s="19"/>
      <c r="K17" s="19"/>
      <c r="L17" s="19"/>
      <c r="M17" s="26"/>
      <c r="N17" s="28"/>
      <c r="O17" s="19"/>
      <c r="P17" s="19"/>
      <c r="Q17" s="19"/>
      <c r="R17" s="19"/>
      <c r="S17" s="26"/>
    </row>
    <row r="18" spans="2:19" x14ac:dyDescent="0.2">
      <c r="B18" s="26"/>
      <c r="C18" s="27"/>
      <c r="D18" s="27"/>
      <c r="E18" s="27"/>
      <c r="F18" s="27"/>
      <c r="G18" s="26"/>
      <c r="H18" s="28"/>
      <c r="I18" s="19"/>
      <c r="J18" s="19"/>
      <c r="K18" s="19"/>
      <c r="L18" s="19"/>
      <c r="M18" s="26"/>
      <c r="N18" s="28"/>
      <c r="O18" s="19"/>
      <c r="P18" s="19"/>
      <c r="Q18" s="19"/>
      <c r="R18" s="19"/>
      <c r="S18" s="26"/>
    </row>
    <row r="19" spans="2:19" x14ac:dyDescent="0.2">
      <c r="B19" s="26"/>
      <c r="C19" s="27"/>
      <c r="D19" s="27"/>
      <c r="E19" s="27"/>
      <c r="F19" s="27"/>
      <c r="G19" s="26"/>
      <c r="H19" s="28"/>
      <c r="I19" s="19"/>
      <c r="J19" s="19"/>
      <c r="K19" s="19"/>
      <c r="L19" s="19"/>
      <c r="M19" s="26"/>
      <c r="N19" s="28"/>
      <c r="O19" s="19"/>
      <c r="P19" s="19"/>
      <c r="Q19" s="19"/>
      <c r="R19" s="19"/>
      <c r="S19" s="26"/>
    </row>
    <row r="20" spans="2:19" x14ac:dyDescent="0.2">
      <c r="B20" s="26"/>
      <c r="C20" s="27"/>
      <c r="D20" s="27"/>
      <c r="E20" s="27"/>
      <c r="F20" s="27"/>
      <c r="G20" s="29"/>
      <c r="H20" s="28"/>
      <c r="I20" s="19"/>
      <c r="J20" s="19"/>
      <c r="K20" s="19"/>
      <c r="L20" s="19"/>
      <c r="M20" s="29"/>
      <c r="N20" s="28"/>
      <c r="O20" s="19"/>
      <c r="P20" s="19"/>
      <c r="Q20" s="19"/>
      <c r="R20" s="19"/>
      <c r="S20" s="29"/>
    </row>
    <row r="21" spans="2:19" x14ac:dyDescent="0.2">
      <c r="B21" s="29"/>
      <c r="C21" s="30"/>
      <c r="D21" s="30"/>
      <c r="E21" s="30"/>
      <c r="F21" s="30"/>
      <c r="G21" s="29" t="str">
        <f>DOLLAR(SUM(G14:G20))</f>
        <v>RM300,000.00</v>
      </c>
      <c r="H21" s="31"/>
      <c r="I21" s="30"/>
      <c r="J21" s="30"/>
      <c r="K21" s="30"/>
      <c r="L21" s="30"/>
      <c r="M21" s="29" t="str">
        <f>DOLLAR(SUM(M14:M20))</f>
        <v>RM200,000.00</v>
      </c>
      <c r="N21" s="31"/>
      <c r="O21" s="30"/>
      <c r="P21" s="30"/>
      <c r="Q21" s="30"/>
      <c r="R21" s="30"/>
      <c r="S21" s="29" t="str">
        <f>DOLLAR(SUM(S14:S20))</f>
        <v>RM300,000.00</v>
      </c>
    </row>
    <row r="22" spans="2:19" ht="46.5" customHeight="1" x14ac:dyDescent="0.2">
      <c r="B22" s="47" t="s">
        <v>61</v>
      </c>
      <c r="C22" s="41"/>
      <c r="D22" s="41"/>
      <c r="E22" s="41"/>
      <c r="F22" s="41"/>
      <c r="G22" s="41"/>
      <c r="H22" s="47" t="s">
        <v>73</v>
      </c>
      <c r="I22" s="41"/>
      <c r="J22" s="41"/>
      <c r="K22" s="41"/>
      <c r="L22" s="41"/>
      <c r="M22" s="42"/>
      <c r="N22" s="41" t="s">
        <v>22</v>
      </c>
      <c r="O22" s="41"/>
      <c r="P22" s="41"/>
      <c r="Q22" s="41"/>
      <c r="R22" s="41"/>
      <c r="S22" s="42"/>
    </row>
    <row r="23" spans="2:19" x14ac:dyDescent="0.2">
      <c r="B23" s="26"/>
      <c r="C23" s="27" t="s">
        <v>60</v>
      </c>
      <c r="D23" s="27"/>
      <c r="E23" s="27"/>
      <c r="F23" s="27"/>
      <c r="G23" s="26">
        <v>1000000</v>
      </c>
      <c r="H23" s="28"/>
      <c r="I23" s="19" t="s">
        <v>53</v>
      </c>
      <c r="J23" s="19"/>
      <c r="K23" s="19"/>
      <c r="L23" s="19"/>
      <c r="M23" s="26"/>
      <c r="N23" s="28"/>
      <c r="O23" s="27" t="str">
        <f>O15</f>
        <v>A123456</v>
      </c>
      <c r="P23" s="27"/>
      <c r="Q23" s="27"/>
      <c r="R23" s="27"/>
      <c r="S23" s="26">
        <v>100000</v>
      </c>
    </row>
    <row r="24" spans="2:19" x14ac:dyDescent="0.2">
      <c r="B24" s="26"/>
      <c r="C24" s="27"/>
      <c r="D24" s="27"/>
      <c r="E24" s="27"/>
      <c r="F24" s="27"/>
      <c r="G24" s="26"/>
      <c r="H24" s="28"/>
      <c r="I24" s="19"/>
      <c r="J24" s="19"/>
      <c r="K24" s="19"/>
      <c r="L24" s="19"/>
      <c r="M24" s="26"/>
      <c r="N24" s="28"/>
      <c r="O24" s="27"/>
      <c r="P24" s="27"/>
      <c r="Q24" s="27"/>
      <c r="R24" s="27"/>
      <c r="S24" s="26"/>
    </row>
    <row r="25" spans="2:19" x14ac:dyDescent="0.2">
      <c r="B25" s="26"/>
      <c r="C25" s="27"/>
      <c r="D25" s="27"/>
      <c r="E25" s="27"/>
      <c r="F25" s="27"/>
      <c r="G25" s="26"/>
      <c r="H25" s="28"/>
      <c r="I25" s="19"/>
      <c r="J25" s="19"/>
      <c r="K25" s="19"/>
      <c r="L25" s="19"/>
      <c r="M25" s="26"/>
      <c r="N25" s="28"/>
      <c r="O25" s="27"/>
      <c r="P25" s="27"/>
      <c r="Q25" s="27"/>
      <c r="R25" s="27"/>
      <c r="S25" s="26"/>
    </row>
    <row r="26" spans="2:19" x14ac:dyDescent="0.2">
      <c r="B26" s="26"/>
      <c r="C26" s="27"/>
      <c r="D26" s="27"/>
      <c r="E26" s="27"/>
      <c r="F26" s="27"/>
      <c r="G26" s="26"/>
      <c r="H26" s="28"/>
      <c r="I26" s="19"/>
      <c r="J26" s="19"/>
      <c r="K26" s="19"/>
      <c r="L26" s="19"/>
      <c r="M26" s="26"/>
      <c r="N26" s="28"/>
      <c r="O26" s="27"/>
      <c r="P26" s="27"/>
      <c r="Q26" s="27"/>
      <c r="R26" s="27"/>
      <c r="S26" s="26"/>
    </row>
    <row r="27" spans="2:19" x14ac:dyDescent="0.2">
      <c r="B27" s="26"/>
      <c r="C27" s="27"/>
      <c r="D27" s="27"/>
      <c r="E27" s="27"/>
      <c r="F27" s="27"/>
      <c r="G27" s="26"/>
      <c r="H27" s="28"/>
      <c r="I27" s="19"/>
      <c r="J27" s="19"/>
      <c r="K27" s="19"/>
      <c r="L27" s="19"/>
      <c r="M27" s="26"/>
      <c r="N27" s="28"/>
      <c r="O27" s="27"/>
      <c r="P27" s="27"/>
      <c r="Q27" s="27"/>
      <c r="R27" s="27"/>
      <c r="S27" s="26"/>
    </row>
    <row r="28" spans="2:19" x14ac:dyDescent="0.2">
      <c r="B28" s="26"/>
      <c r="C28" s="27"/>
      <c r="D28" s="27"/>
      <c r="E28" s="27"/>
      <c r="F28" s="27"/>
      <c r="G28" s="26"/>
      <c r="H28" s="28"/>
      <c r="I28" s="19"/>
      <c r="J28" s="19"/>
      <c r="K28" s="19"/>
      <c r="L28" s="19"/>
      <c r="M28" s="26"/>
      <c r="N28" s="28"/>
      <c r="O28" s="27"/>
      <c r="P28" s="27"/>
      <c r="Q28" s="27"/>
      <c r="R28" s="27"/>
      <c r="S28" s="26"/>
    </row>
    <row r="29" spans="2:19" x14ac:dyDescent="0.2">
      <c r="B29" s="26"/>
      <c r="C29" s="27"/>
      <c r="D29" s="27"/>
      <c r="E29" s="27"/>
      <c r="F29" s="27"/>
      <c r="G29" s="26"/>
      <c r="H29" s="28"/>
      <c r="I29" s="19"/>
      <c r="J29" s="19"/>
      <c r="K29" s="19"/>
      <c r="L29" s="19"/>
      <c r="M29" s="26"/>
      <c r="N29" s="28"/>
      <c r="O29" s="27"/>
      <c r="P29" s="27"/>
      <c r="Q29" s="27"/>
      <c r="R29" s="27"/>
      <c r="S29" s="26"/>
    </row>
    <row r="30" spans="2:19" x14ac:dyDescent="0.2">
      <c r="B30" s="29"/>
      <c r="C30" s="30"/>
      <c r="D30" s="30"/>
      <c r="E30" s="30"/>
      <c r="F30" s="30"/>
      <c r="G30" s="15" t="str">
        <f>DOLLAR(SUM(G23:G29))</f>
        <v>RM1,000,000.00</v>
      </c>
      <c r="H30" s="28"/>
      <c r="I30" s="27"/>
      <c r="J30" s="27"/>
      <c r="K30" s="27"/>
      <c r="L30" s="27"/>
      <c r="M30" s="15" t="str">
        <f>DOLLAR(SUM(M23:M29))</f>
        <v>$0.00</v>
      </c>
      <c r="N30" s="28"/>
      <c r="O30" s="27"/>
      <c r="P30" s="27"/>
      <c r="Q30" s="27"/>
      <c r="R30" s="27"/>
      <c r="S30" s="15"/>
    </row>
    <row r="31" spans="2:19" ht="44.25" customHeight="1" x14ac:dyDescent="0.2">
      <c r="B31" s="47" t="s">
        <v>59</v>
      </c>
      <c r="C31" s="41"/>
      <c r="D31" s="41"/>
      <c r="E31" s="41"/>
      <c r="F31" s="41"/>
      <c r="G31" s="41"/>
      <c r="H31" s="17" t="s">
        <v>25</v>
      </c>
      <c r="I31" s="48" t="s">
        <v>26</v>
      </c>
      <c r="J31" s="49"/>
      <c r="K31" s="49"/>
      <c r="L31" s="50"/>
      <c r="M31" s="17" t="s">
        <v>27</v>
      </c>
      <c r="N31" s="17" t="s">
        <v>28</v>
      </c>
      <c r="O31" s="17" t="s">
        <v>29</v>
      </c>
      <c r="P31" s="17" t="s">
        <v>30</v>
      </c>
      <c r="Q31" s="17" t="s">
        <v>65</v>
      </c>
      <c r="R31" s="35" t="s">
        <v>57</v>
      </c>
      <c r="S31" s="36" t="s">
        <v>58</v>
      </c>
    </row>
    <row r="32" spans="2:19" x14ac:dyDescent="0.2">
      <c r="B32" s="26"/>
      <c r="C32" s="33" t="str">
        <f>C14</f>
        <v>A123456</v>
      </c>
      <c r="D32" s="27"/>
      <c r="E32" s="27"/>
      <c r="F32" s="27"/>
      <c r="G32" s="26">
        <v>100000</v>
      </c>
      <c r="H32" s="15">
        <v>1</v>
      </c>
      <c r="I32" s="53" t="s">
        <v>55</v>
      </c>
      <c r="J32" s="54"/>
      <c r="K32" s="54"/>
      <c r="L32" s="55"/>
      <c r="M32" s="33" t="s">
        <v>75</v>
      </c>
      <c r="N32" s="25">
        <v>43831</v>
      </c>
      <c r="O32" s="25">
        <v>72686</v>
      </c>
      <c r="P32" s="15">
        <f>G14</f>
        <v>100000</v>
      </c>
      <c r="Q32" s="34">
        <v>44841</v>
      </c>
      <c r="R32" s="15" t="s">
        <v>56</v>
      </c>
      <c r="S32" s="15">
        <v>2000</v>
      </c>
    </row>
    <row r="33" spans="2:19" x14ac:dyDescent="0.2">
      <c r="B33" s="26"/>
      <c r="C33" s="27" t="str">
        <f>C15</f>
        <v>A123456</v>
      </c>
      <c r="D33" s="27"/>
      <c r="E33" s="27"/>
      <c r="F33" s="27"/>
      <c r="G33" s="26">
        <v>100000</v>
      </c>
      <c r="H33" s="15"/>
      <c r="I33" s="53" t="s">
        <v>62</v>
      </c>
      <c r="J33" s="54"/>
      <c r="K33" s="54"/>
      <c r="L33" s="55"/>
      <c r="M33" s="33" t="s">
        <v>75</v>
      </c>
      <c r="N33" s="25">
        <v>43831</v>
      </c>
      <c r="O33" s="25">
        <v>72686</v>
      </c>
      <c r="P33" s="15">
        <f>G23</f>
        <v>1000000</v>
      </c>
      <c r="Q33" s="25">
        <v>44830</v>
      </c>
      <c r="R33" s="15" t="str">
        <f>R32</f>
        <v>monthly</v>
      </c>
      <c r="S33" s="39">
        <v>2000</v>
      </c>
    </row>
    <row r="34" spans="2:19" x14ac:dyDescent="0.2">
      <c r="B34" s="26"/>
      <c r="C34" s="27"/>
      <c r="D34" s="27"/>
      <c r="E34" s="27"/>
      <c r="F34" s="27"/>
      <c r="G34" s="32"/>
      <c r="H34" s="15"/>
      <c r="I34" s="53" t="s">
        <v>63</v>
      </c>
      <c r="J34" s="54"/>
      <c r="K34" s="54"/>
      <c r="L34" s="55"/>
      <c r="M34" s="33" t="s">
        <v>75</v>
      </c>
      <c r="N34" s="25">
        <v>43831</v>
      </c>
      <c r="O34" s="25">
        <v>72686</v>
      </c>
      <c r="P34" s="15">
        <f>G15</f>
        <v>100000</v>
      </c>
      <c r="Q34" s="25">
        <v>45021</v>
      </c>
      <c r="R34" s="15" t="s">
        <v>64</v>
      </c>
      <c r="S34" s="39">
        <v>2000</v>
      </c>
    </row>
    <row r="35" spans="2:19" x14ac:dyDescent="0.2">
      <c r="B35" s="26"/>
      <c r="C35" s="27"/>
      <c r="D35" s="27"/>
      <c r="E35" s="27"/>
      <c r="F35" s="27"/>
      <c r="G35" s="32"/>
      <c r="H35" s="15"/>
      <c r="I35" s="53" t="s">
        <v>66</v>
      </c>
      <c r="J35" s="54"/>
      <c r="K35" s="54"/>
      <c r="L35" s="55"/>
      <c r="M35" s="33" t="s">
        <v>75</v>
      </c>
      <c r="N35" s="25">
        <v>43831</v>
      </c>
      <c r="O35" s="25">
        <v>72686</v>
      </c>
      <c r="P35" s="38">
        <f>S16</f>
        <v>100000</v>
      </c>
      <c r="Q35" s="34">
        <v>44861</v>
      </c>
      <c r="R35" s="15" t="str">
        <f>R34</f>
        <v>annually</v>
      </c>
      <c r="S35" s="39">
        <v>2000</v>
      </c>
    </row>
    <row r="36" spans="2:19" x14ac:dyDescent="0.2">
      <c r="B36" s="26"/>
      <c r="C36" s="27"/>
      <c r="D36" s="27"/>
      <c r="E36" s="27"/>
      <c r="F36" s="27"/>
      <c r="G36" s="32"/>
      <c r="H36" s="15"/>
      <c r="I36" s="53" t="s">
        <v>67</v>
      </c>
      <c r="J36" s="54"/>
      <c r="K36" s="54"/>
      <c r="L36" s="55"/>
      <c r="M36" s="33" t="s">
        <v>75</v>
      </c>
      <c r="N36" s="25">
        <v>43831</v>
      </c>
      <c r="O36" s="25">
        <v>72686</v>
      </c>
      <c r="P36" s="15">
        <f>G16</f>
        <v>100000</v>
      </c>
      <c r="Q36" s="25">
        <v>44830</v>
      </c>
      <c r="R36" s="15" t="str">
        <f>R33</f>
        <v>monthly</v>
      </c>
      <c r="S36" s="39">
        <v>2000</v>
      </c>
    </row>
    <row r="37" spans="2:19" x14ac:dyDescent="0.2">
      <c r="B37" s="26"/>
      <c r="C37" s="27"/>
      <c r="D37" s="27"/>
      <c r="E37" s="27"/>
      <c r="F37" s="27"/>
      <c r="G37" s="32"/>
      <c r="H37" s="15"/>
      <c r="I37" s="53"/>
      <c r="J37" s="54"/>
      <c r="K37" s="54"/>
      <c r="L37" s="55"/>
      <c r="M37" s="15"/>
      <c r="N37" s="15"/>
      <c r="O37" s="15"/>
      <c r="P37" s="15"/>
      <c r="Q37" s="15"/>
      <c r="R37" s="15"/>
      <c r="S37" s="15"/>
    </row>
    <row r="38" spans="2:19" x14ac:dyDescent="0.2">
      <c r="B38" s="26"/>
      <c r="C38" s="27"/>
      <c r="D38" s="27"/>
      <c r="E38" s="27"/>
      <c r="F38" s="27"/>
      <c r="G38" s="32"/>
      <c r="H38" s="15"/>
      <c r="I38" s="53"/>
      <c r="J38" s="54"/>
      <c r="K38" s="54"/>
      <c r="L38" s="55"/>
      <c r="M38" s="15"/>
      <c r="N38" s="15"/>
      <c r="O38" s="15"/>
      <c r="P38" s="15"/>
      <c r="Q38" s="15"/>
      <c r="R38" s="15"/>
      <c r="S38" s="15"/>
    </row>
    <row r="39" spans="2:19" x14ac:dyDescent="0.2">
      <c r="B39" s="29"/>
      <c r="C39" s="30"/>
      <c r="D39" s="30"/>
      <c r="E39" s="30"/>
      <c r="F39" s="30"/>
      <c r="G39" s="15" t="str">
        <f>DOLLAR(SUM(G32:G38))</f>
        <v>RM200,000.00</v>
      </c>
      <c r="H39" s="15"/>
      <c r="I39" s="53"/>
      <c r="J39" s="54"/>
      <c r="K39" s="54"/>
      <c r="L39" s="55"/>
      <c r="M39" s="15"/>
      <c r="N39" s="15"/>
      <c r="O39" s="15"/>
      <c r="P39" s="15"/>
      <c r="Q39" s="15"/>
      <c r="R39" s="15"/>
      <c r="S39" s="15"/>
    </row>
    <row r="40" spans="2:19" ht="38.25" customHeight="1" x14ac:dyDescent="0.2">
      <c r="B40" s="47" t="s">
        <v>68</v>
      </c>
      <c r="C40" s="41"/>
      <c r="D40" s="41"/>
      <c r="E40" s="41"/>
      <c r="F40" s="41"/>
      <c r="G40" s="41"/>
      <c r="H40" s="15"/>
      <c r="I40" s="53"/>
      <c r="J40" s="54"/>
      <c r="K40" s="54"/>
      <c r="L40" s="55"/>
      <c r="M40" s="15"/>
      <c r="N40" s="15"/>
      <c r="O40" s="15"/>
      <c r="P40" s="15"/>
      <c r="Q40" s="15"/>
      <c r="R40" s="15"/>
      <c r="S40" s="15"/>
    </row>
    <row r="41" spans="2:19" x14ac:dyDescent="0.2">
      <c r="B41" s="26"/>
      <c r="C41" s="27" t="s">
        <v>69</v>
      </c>
      <c r="D41" s="27"/>
      <c r="E41" s="27"/>
      <c r="F41" s="27"/>
      <c r="G41" s="26">
        <v>100000</v>
      </c>
      <c r="H41" s="15"/>
      <c r="I41" s="53"/>
      <c r="J41" s="54"/>
      <c r="K41" s="54"/>
      <c r="L41" s="55"/>
      <c r="M41" s="15"/>
      <c r="N41" s="15"/>
      <c r="O41" s="15"/>
      <c r="P41" s="15"/>
      <c r="Q41" s="15"/>
      <c r="R41" s="15"/>
      <c r="S41" s="15"/>
    </row>
    <row r="42" spans="2:19" x14ac:dyDescent="0.2">
      <c r="B42" s="26"/>
      <c r="C42" s="27" t="s">
        <v>70</v>
      </c>
      <c r="D42" s="27"/>
      <c r="E42" s="27"/>
      <c r="F42" s="27"/>
      <c r="G42" s="26">
        <v>100000</v>
      </c>
      <c r="H42" s="15"/>
      <c r="I42" s="53"/>
      <c r="J42" s="54"/>
      <c r="K42" s="54"/>
      <c r="L42" s="55"/>
      <c r="M42" s="15"/>
      <c r="N42" s="15"/>
      <c r="O42" s="15"/>
      <c r="P42" s="15"/>
      <c r="Q42" s="15"/>
      <c r="R42" s="15"/>
      <c r="S42" s="15"/>
    </row>
    <row r="43" spans="2:19" x14ac:dyDescent="0.2">
      <c r="B43" s="26"/>
      <c r="C43" s="27" t="s">
        <v>71</v>
      </c>
      <c r="D43" s="27"/>
      <c r="E43" s="27"/>
      <c r="F43" s="27"/>
      <c r="G43" s="26">
        <v>100000</v>
      </c>
      <c r="H43" s="15"/>
      <c r="I43" s="53"/>
      <c r="J43" s="54"/>
      <c r="K43" s="54"/>
      <c r="L43" s="55"/>
      <c r="M43" s="15"/>
      <c r="N43" s="15"/>
      <c r="O43" s="15"/>
      <c r="P43" s="15"/>
      <c r="Q43" s="15"/>
      <c r="R43" s="15"/>
      <c r="S43" s="15"/>
    </row>
    <row r="44" spans="2:19" x14ac:dyDescent="0.2">
      <c r="B44" s="26"/>
      <c r="C44" s="27" t="s">
        <v>72</v>
      </c>
      <c r="D44" s="27"/>
      <c r="E44" s="27"/>
      <c r="F44" s="27"/>
      <c r="G44" s="26">
        <v>100000</v>
      </c>
      <c r="H44" s="15"/>
      <c r="I44" s="53"/>
      <c r="J44" s="54"/>
      <c r="K44" s="54"/>
      <c r="L44" s="55"/>
      <c r="M44" s="15"/>
      <c r="N44" s="15"/>
      <c r="O44" s="15"/>
      <c r="P44" s="15"/>
      <c r="Q44" s="15"/>
      <c r="R44" s="15"/>
      <c r="S44" s="15"/>
    </row>
    <row r="45" spans="2:19" x14ac:dyDescent="0.2">
      <c r="B45" s="26"/>
      <c r="C45" s="27"/>
      <c r="D45" s="27"/>
      <c r="E45" s="27"/>
      <c r="F45" s="27"/>
      <c r="G45" s="32"/>
      <c r="H45" s="15"/>
      <c r="I45" s="53"/>
      <c r="J45" s="54"/>
      <c r="K45" s="54"/>
      <c r="L45" s="55"/>
      <c r="M45" s="15"/>
      <c r="N45" s="15"/>
      <c r="O45" s="15"/>
      <c r="P45" s="15"/>
      <c r="Q45" s="15"/>
      <c r="R45" s="15"/>
      <c r="S45" s="15"/>
    </row>
    <row r="46" spans="2:19" x14ac:dyDescent="0.2">
      <c r="B46" s="26"/>
      <c r="C46" s="27"/>
      <c r="D46" s="27"/>
      <c r="E46" s="27"/>
      <c r="F46" s="27"/>
      <c r="G46" s="32"/>
      <c r="H46" s="15"/>
      <c r="I46" s="53"/>
      <c r="J46" s="54"/>
      <c r="K46" s="54"/>
      <c r="L46" s="55"/>
      <c r="M46" s="15"/>
      <c r="N46" s="15"/>
      <c r="O46" s="15"/>
      <c r="P46" s="15"/>
      <c r="Q46" s="15"/>
      <c r="R46" s="15"/>
      <c r="S46" s="15"/>
    </row>
    <row r="47" spans="2:19" x14ac:dyDescent="0.2">
      <c r="B47" s="26"/>
      <c r="C47" s="27"/>
      <c r="D47" s="27"/>
      <c r="E47" s="27"/>
      <c r="F47" s="27"/>
      <c r="G47" s="32"/>
      <c r="H47" s="15"/>
      <c r="I47" s="53"/>
      <c r="J47" s="54"/>
      <c r="K47" s="54"/>
      <c r="L47" s="55"/>
      <c r="M47" s="15"/>
      <c r="N47" s="15"/>
      <c r="O47" s="15"/>
      <c r="P47" s="15"/>
      <c r="Q47" s="15"/>
      <c r="R47" s="15"/>
      <c r="S47" s="15"/>
    </row>
    <row r="48" spans="2:19" x14ac:dyDescent="0.2">
      <c r="B48" s="29"/>
      <c r="C48" s="30"/>
      <c r="D48" s="30"/>
      <c r="E48" s="30"/>
      <c r="F48" s="30"/>
      <c r="G48" s="56">
        <f>SUM(G41:G47)</f>
        <v>400000</v>
      </c>
      <c r="H48" s="15"/>
      <c r="I48" s="53"/>
      <c r="J48" s="54"/>
      <c r="K48" s="54"/>
      <c r="L48" s="55"/>
      <c r="M48" s="15"/>
      <c r="N48" s="15"/>
      <c r="O48" s="15"/>
      <c r="P48" s="15"/>
      <c r="Q48" s="15"/>
      <c r="R48" s="17"/>
      <c r="S48" s="17"/>
    </row>
    <row r="49" spans="2:19" x14ac:dyDescent="0.2">
      <c r="B49" s="2" t="s">
        <v>33</v>
      </c>
      <c r="H49" s="2" t="s">
        <v>38</v>
      </c>
      <c r="M49" s="19" t="s">
        <v>42</v>
      </c>
      <c r="N49" s="2"/>
      <c r="O49" s="2"/>
      <c r="P49" s="2"/>
      <c r="Q49" s="2"/>
      <c r="R49" s="15" t="str">
        <f>DOLLAR(SUM(R32:R48))</f>
        <v>RM0.00</v>
      </c>
      <c r="S49" s="15" t="str">
        <f>DOLLAR(SUM(S32:S48))</f>
        <v>RM10,000.00</v>
      </c>
    </row>
    <row r="50" spans="2:19" x14ac:dyDescent="0.2">
      <c r="B50" s="2" t="s">
        <v>34</v>
      </c>
      <c r="H50" s="2" t="s">
        <v>74</v>
      </c>
      <c r="M50" s="19" t="s">
        <v>43</v>
      </c>
      <c r="N50" s="2" t="str">
        <f>G21</f>
        <v>RM300,000.00</v>
      </c>
      <c r="O50" s="2" t="s">
        <v>45</v>
      </c>
      <c r="P50" s="19" t="str">
        <f>G30</f>
        <v>RM1,000,000.00</v>
      </c>
      <c r="Q50" s="2"/>
    </row>
    <row r="51" spans="2:19" x14ac:dyDescent="0.2">
      <c r="B51" s="2" t="s">
        <v>35</v>
      </c>
      <c r="H51" s="2" t="s">
        <v>40</v>
      </c>
      <c r="M51" s="19" t="s">
        <v>47</v>
      </c>
      <c r="N51" s="2" t="str">
        <f>M21</f>
        <v>RM200,000.00</v>
      </c>
      <c r="O51" s="2" t="s">
        <v>49</v>
      </c>
      <c r="P51" s="2">
        <f>G39+G48</f>
        <v>600000</v>
      </c>
      <c r="Q51" s="2"/>
    </row>
    <row r="52" spans="2:19" x14ac:dyDescent="0.2">
      <c r="B52" s="2" t="s">
        <v>36</v>
      </c>
      <c r="H52" s="2" t="s">
        <v>41</v>
      </c>
      <c r="M52" s="2" t="s">
        <v>48</v>
      </c>
      <c r="N52" s="2" t="str">
        <f>S21</f>
        <v>RM300,000.00</v>
      </c>
      <c r="O52" s="19" t="s">
        <v>50</v>
      </c>
      <c r="P52" s="2"/>
      <c r="Q52" s="2"/>
      <c r="R52" s="2" t="s">
        <v>54</v>
      </c>
    </row>
    <row r="53" spans="2:19" x14ac:dyDescent="0.2">
      <c r="B53" s="2" t="s">
        <v>37</v>
      </c>
      <c r="M53" s="2" t="s">
        <v>46</v>
      </c>
      <c r="N53" s="2"/>
      <c r="O53" s="2"/>
      <c r="P53" s="2"/>
      <c r="Q53" s="2"/>
    </row>
  </sheetData>
  <mergeCells count="32">
    <mergeCell ref="I47:L47"/>
    <mergeCell ref="I48:L48"/>
    <mergeCell ref="I41:L41"/>
    <mergeCell ref="I42:L42"/>
    <mergeCell ref="I43:L43"/>
    <mergeCell ref="I44:L44"/>
    <mergeCell ref="I45:L45"/>
    <mergeCell ref="I46:L46"/>
    <mergeCell ref="B40:G40"/>
    <mergeCell ref="I40:L40"/>
    <mergeCell ref="B31:G31"/>
    <mergeCell ref="I31:L31"/>
    <mergeCell ref="I32:L32"/>
    <mergeCell ref="I33:L33"/>
    <mergeCell ref="I34:L34"/>
    <mergeCell ref="I35:L35"/>
    <mergeCell ref="I36:L36"/>
    <mergeCell ref="I37:L37"/>
    <mergeCell ref="I38:L38"/>
    <mergeCell ref="I39:L39"/>
    <mergeCell ref="B13:G13"/>
    <mergeCell ref="H13:M13"/>
    <mergeCell ref="N13:S13"/>
    <mergeCell ref="B22:G22"/>
    <mergeCell ref="H22:M22"/>
    <mergeCell ref="N22:S22"/>
    <mergeCell ref="B10:D10"/>
    <mergeCell ref="B4:D4"/>
    <mergeCell ref="B6:D6"/>
    <mergeCell ref="B7:D7"/>
    <mergeCell ref="B8:D8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2020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PEI SHI WHITNEY</dc:creator>
  <cp:lastModifiedBy>WAN ABDUL MUTHALIB BIN WAN SHAHRIMAN</cp:lastModifiedBy>
  <dcterms:created xsi:type="dcterms:W3CDTF">2020-06-02T11:50:20Z</dcterms:created>
  <dcterms:modified xsi:type="dcterms:W3CDTF">2022-09-13T09:33:06Z</dcterms:modified>
</cp:coreProperties>
</file>